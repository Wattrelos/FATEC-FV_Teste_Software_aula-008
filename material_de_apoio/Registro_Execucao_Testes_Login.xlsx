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d6f41f771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329873fb3d494bf7"/>
    <x:sheet xmlns:r="http://schemas.openxmlformats.org/officeDocument/2006/relationships" name="Registro de execução" sheetId="2" r:id="Ra725178fa1624efd"/>
    <x:sheet xmlns:r="http://schemas.openxmlformats.org/officeDocument/2006/relationships" name="Resumo" sheetId="3" r:id="R1ef9846c0e8a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0"/>
      <x:color rgb="FF2563EB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2563EB"/>
      <x:name val="Carlito"/>
    </x:font>
    <x:font>
      <x:b/>
      <x:sz val="11"/>
      <x:color rgb="FF111827"/>
      <x:name val="Carlito"/>
    </x:font>
    <x:font>
      <x:b/>
      <x:sz val="16"/>
      <x:color rgb="FF2563EB"/>
      <x:name val="Carlito"/>
    </x:font>
    <x:font>
      <x:b/>
      <x:sz val="17"/>
      <x:color rgb="FF2563EB"/>
      <x:name val="Carlito"/>
    </x:font>
    <x:font>
      <x:b/>
      <x:sz val="11"/>
      <x:color rgb="FFB4530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AF4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</x:fills>
  <x:borders count="10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horizontal="center" wrapText="1"/>
    </x:xf>
    <x:xf numFmtId="0" fontId="8" fillId="3" borderId="3" xfId="0" applyNumberFormat="1" applyFont="1" applyFill="1" applyBorder="1" applyAlignment="1">
      <x:alignment horizontal="center" wrapText="1"/>
    </x:xf>
    <x:xf numFmtId="0" fontId="8" fillId="3" borderId="4" xfId="0" applyNumberFormat="1" applyFont="1" applyFill="1" applyBorder="1" applyAlignment="1">
      <x:alignment horizontal="center" wrapText="1"/>
    </x:xf>
    <x:xf numFmtId="0" fontId="8" fillId="3" borderId="5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9" xfId="0" applyNumberFormat="1" applyFont="1" applyFill="1" applyBorder="1" applyAlignment="1">
      <x:alignment horizont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8" fillId="3" borderId="4" xfId="0" applyNumberFormat="1" applyFont="1" applyFill="1" applyBorder="1" applyAlignment="1">
      <x:alignment horizontal="center" vertic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efbbddfca4919" /><Relationship Type="http://schemas.openxmlformats.org/officeDocument/2006/relationships/theme" Target="/xl/theme/theme1.xml" Id="Rfc469e5d7f6c4c49" /><Relationship Type="http://schemas.openxmlformats.org/officeDocument/2006/relationships/sharedStrings" Target="/xl/sharedStrings.xml" Id="R32f7ef8f2bff44c5" /><Relationship Type="http://schemas.openxmlformats.org/officeDocument/2006/relationships/worksheet" Target="/xl/worksheets/sheet1.xml" Id="R329873fb3d494bf7" /><Relationship Type="http://schemas.openxmlformats.org/officeDocument/2006/relationships/worksheet" Target="/xl/worksheets/sheet2.xml" Id="Ra725178fa1624efd" /><Relationship Type="http://schemas.openxmlformats.org/officeDocument/2006/relationships/worksheet" Target="/xl/worksheets/sheet3.xml" Id="R1ef9846c0e8a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8" hidden="0" customWidth="1"/>
    <x:col min="4" max="4" width="21" hidden="0" customWidth="1"/>
    <x:col min="5" max="5" width="20" hidden="0" customWidth="1"/>
    <x:col min="6" max="6" width="39" hidden="0" customWidth="1"/>
    <x:col min="7" max="7" width="14" hidden="0" customWidth="1"/>
    <x:col min="8" max="8" width="13" hidden="0" customWidth="1"/>
  </x:cols>
  <x:sheetData>
    <x:row r="1" ht="34" customHeight="1">
      <x:c r="A1" s="3" t="str">
        <x:v>CASOS DE TESTE — LOGIN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Referência para execução manual e automatizada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ID</x:v>
      </x:c>
      <x:c r="B4" s="12" t="str">
        <x:v>Cenário</x:v>
      </x:c>
      <x:c r="C4" s="12" t="str">
        <x:v>E-mail</x:v>
      </x:c>
      <x:c r="D4" s="12" t="str">
        <x:v>Senha</x:v>
      </x:c>
      <x:c r="E4" s="12" t="str">
        <x:v>Ação</x:v>
      </x:c>
      <x:c r="F4" s="12" t="str">
        <x:v>Resultado esperado</x:v>
      </x:c>
      <x:c r="G4" s="12" t="str">
        <x:v>Tipo</x:v>
      </x:c>
      <x:c r="H4" s="12" t="str">
        <x:v>Prioridade</x:v>
      </x:c>
    </x:row>
    <x:row r="5" ht="44" customHeight="1">
      <x:c r="A5" s="17" t="str">
        <x:v>CT-01</x:v>
      </x:c>
      <x:c r="B5" s="17" t="str">
        <x:v>Login válido</x:v>
      </x:c>
      <x:c r="C5" s="17" t="str">
        <x:v>usuario@teste.com</x:v>
      </x:c>
      <x:c r="D5" s="17" t="str">
        <x:v>Senha@123</x:v>
      </x:c>
      <x:c r="E5" s="17" t="str">
        <x:v>Clicar em Entrar</x:v>
      </x:c>
      <x:c r="F5" s="17" t="str">
        <x:v>Login realizado com sucesso!</x:v>
      </x:c>
      <x:c r="G5" s="17" t="str">
        <x:v>Positivo</x:v>
      </x:c>
      <x:c r="H5" s="17" t="str">
        <x:v>Alta</x:v>
      </x:c>
    </x:row>
    <x:row r="6" ht="44" customHeight="1">
      <x:c r="A6" s="18" t="str">
        <x:v>CT-02</x:v>
      </x:c>
      <x:c r="B6" s="18" t="str">
        <x:v>Senha incorreta</x:v>
      </x:c>
      <x:c r="C6" s="18" t="str">
        <x:v>usuario@teste.com</x:v>
      </x:c>
      <x:c r="D6" s="18" t="str">
        <x:v>SenhaIncorreta</x:v>
      </x:c>
      <x:c r="E6" s="18" t="str">
        <x:v>Clicar em Entrar</x:v>
      </x:c>
      <x:c r="F6" s="18" t="str">
        <x:v>Senha incorreta.</x:v>
      </x:c>
      <x:c r="G6" s="18" t="str">
        <x:v>Negativo</x:v>
      </x:c>
      <x:c r="H6" s="18" t="str">
        <x:v>Alta</x:v>
      </x:c>
    </x:row>
    <x:row r="7" ht="44" customHeight="1">
      <x:c r="A7" s="17" t="str">
        <x:v>CT-03</x:v>
      </x:c>
      <x:c r="B7" s="17" t="str">
        <x:v>Usuário inexistente</x:v>
      </x:c>
      <x:c r="C7" s="17" t="str">
        <x:v>inexistente@teste.com</x:v>
      </x:c>
      <x:c r="D7" s="17" t="str">
        <x:v>Senha@123</x:v>
      </x:c>
      <x:c r="E7" s="17" t="str">
        <x:v>Clicar em Entrar</x:v>
      </x:c>
      <x:c r="F7" s="17" t="str">
        <x:v>Usuário não cadastrado.</x:v>
      </x:c>
      <x:c r="G7" s="17" t="str">
        <x:v>Negativo</x:v>
      </x:c>
      <x:c r="H7" s="17" t="str">
        <x:v>Alta</x:v>
      </x:c>
    </x:row>
    <x:row r="8" ht="44" customHeight="1">
      <x:c r="A8" s="18" t="str">
        <x:v>CT-04</x:v>
      </x:c>
      <x:c r="B8" s="18" t="str">
        <x:v>Campos obrigatórios vazios</x:v>
      </x:c>
      <x:c r="C8" s="18" t="str"/>
      <x:c r="D8" s="18" t="str"/>
      <x:c r="E8" s="18" t="str">
        <x:v>Clicar em Entrar</x:v>
      </x:c>
      <x:c r="F8" s="18" t="str">
        <x:v>Preencha todos os campos obrigatórios.</x:v>
      </x:c>
      <x:c r="G8" s="18" t="str">
        <x:v>Negativo</x:v>
      </x:c>
      <x:c r="H8" s="18" t="str">
        <x:v>Alta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38" hidden="0" customWidth="1"/>
    <x:col min="5" max="5" width="18" hidden="0" customWidth="1"/>
    <x:col min="6" max="6" width="25" hidden="0" customWidth="1"/>
    <x:col min="7" max="7" width="34" hidden="0" customWidth="1"/>
    <x:col min="8" max="8" width="20" hidden="0" customWidth="1"/>
  </x:cols>
  <x:sheetData>
    <x:row r="1" ht="34" customHeight="1">
      <x:c r="A1" s="3" t="str">
        <x:v>REGISTRO DE EXECUÇÃO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Preencha Resultado obtido, Status, Evidência e Observações após cada teste manual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ID</x:v>
      </x:c>
      <x:c r="B4" s="12" t="str">
        <x:v>Cenário</x:v>
      </x:c>
      <x:c r="C4" s="12" t="str">
        <x:v>Resultado esperado</x:v>
      </x:c>
      <x:c r="D4" s="12" t="str">
        <x:v>Resultado obtido</x:v>
      </x:c>
      <x:c r="E4" s="12" t="str">
        <x:v>Status</x:v>
      </x:c>
      <x:c r="F4" s="12" t="str">
        <x:v>Evidência</x:v>
      </x:c>
      <x:c r="G4" s="12" t="str">
        <x:v>Observações</x:v>
      </x:c>
      <x:c r="H4" s="12" t="str">
        <x:v>Responsável</x:v>
      </x:c>
    </x:row>
    <x:row r="5" ht="62" customHeight="1">
      <x:c r="A5" s="17" t="str">
        <x:v>CT-01</x:v>
      </x:c>
      <x:c r="B5" s="17" t="str">
        <x:v>Login válido</x:v>
      </x:c>
      <x:c r="C5" s="17" t="str">
        <x:v>Login realizado com sucesso!</x:v>
      </x:c>
      <x:c r="D5" s="17" t="str"/>
      <x:c r="E5" s="17" t="str">
        <x:v>Não executado</x:v>
      </x:c>
      <x:c r="F5" s="17" t="str"/>
      <x:c r="G5" s="17" t="str"/>
      <x:c r="H5" s="17" t="str"/>
    </x:row>
    <x:row r="6" ht="62" customHeight="1">
      <x:c r="A6" s="17" t="str">
        <x:v>CT-02</x:v>
      </x:c>
      <x:c r="B6" s="17" t="str">
        <x:v>Senha incorreta</x:v>
      </x:c>
      <x:c r="C6" s="17" t="str">
        <x:v>Senha incorreta.</x:v>
      </x:c>
      <x:c r="D6" s="17" t="str"/>
      <x:c r="E6" s="17" t="str">
        <x:v>Não executado</x:v>
      </x:c>
      <x:c r="F6" s="17" t="str"/>
      <x:c r="G6" s="17" t="str"/>
      <x:c r="H6" s="17" t="str"/>
    </x:row>
    <x:row r="7" ht="62" customHeight="1">
      <x:c r="A7" s="17" t="str">
        <x:v>CT-03</x:v>
      </x:c>
      <x:c r="B7" s="17" t="str">
        <x:v>Usuário inexistente</x:v>
      </x:c>
      <x:c r="C7" s="17" t="str">
        <x:v>Usuário não cadastrado.</x:v>
      </x:c>
      <x:c r="D7" s="17" t="str"/>
      <x:c r="E7" s="17" t="str">
        <x:v>Não executado</x:v>
      </x:c>
      <x:c r="F7" s="17" t="str"/>
      <x:c r="G7" s="17" t="str"/>
      <x:c r="H7" s="17" t="str"/>
    </x:row>
    <x:row r="8" ht="62" customHeight="1">
      <x:c r="A8" s="17" t="str">
        <x:v>CT-04</x:v>
      </x:c>
      <x:c r="B8" s="17" t="str">
        <x:v>Campos obrigatórios vazios</x:v>
      </x:c>
      <x:c r="C8" s="17" t="str">
        <x:v>Preencha todos os campos obrigatórios.</x:v>
      </x:c>
      <x:c r="D8" s="17" t="str"/>
      <x:c r="E8" s="17" t="str">
        <x:v>Não executado</x:v>
      </x:c>
      <x:c r="F8" s="17" t="str"/>
      <x:c r="G8" s="17" t="str"/>
      <x:c r="H8" s="17" t="str"/>
    </x:row>
    <x:row r="11" ht="44" customHeight="1">
      <x:c r="A11" s="21" t="str">
        <x:v>Orientação: registre Passou quando o resultado obtido corresponder ao esperado. Use Falhou quando houver divergência e Bloqueado quando o teste não puder ser concluído.</x:v>
      </x:c>
      <x:c r="B11" s="21"/>
      <x:c r="C11" s="21"/>
      <x:c r="D11" s="21"/>
      <x:c r="E11" s="21"/>
      <x:c r="F11" s="21"/>
      <x:c r="G11" s="21"/>
      <x:c r="H11" s="21"/>
    </x:row>
  </x:sheetData>
  <x:mergeCells>
    <x:mergeCell ref="A1:H1"/>
    <x:mergeCell ref="A2:H2"/>
    <x:mergeCell ref="A11:H11"/>
  </x:mergeCells>
  <x:conditionalFormatting sqref="E5:E8">
    <x:cfRule type="containsText" dxfId="0" priority="1" operator="containsText" text="Passou"/>
    <x:cfRule type="containsText" dxfId="1" priority="2" operator="containsText" text="Falhou"/>
    <x:cfRule type="containsText" dxfId="2" priority="3" operator="containsText" text="Bloqueado"/>
  </x:conditionalFormatting>
  <x:dataValidations count="1">
    <x:dataValidation type="list" sqref="E5:E8">
      <x:formula1>"Não executado,Passou,Falhou,Bloqueado"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RESUMO DA EXECUÇÃO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Indicadores calculados a partir da planilha Registro de execução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Indicador</x:v>
      </x:c>
      <x:c r="B4" s="12" t="str">
        <x:v>Resultado</x:v>
      </x:c>
      <x:c r="D4" s="28" t="str">
        <x:v>CRITÉRIO DE ENCERRAMENTO</x:v>
      </x:c>
      <x:c r="E4" s="28"/>
      <x:c r="F4" s="28"/>
      <x:c r="G4" s="28"/>
      <x:c r="H4" s="28"/>
    </x:row>
    <x:row r="5" ht="34" customHeight="1">
      <x:c r="A5" s="22" t="str">
        <x:v>Total de casos</x:v>
      </x:c>
      <x:c r="B5" s="25" t="n">
        <x:v>4</x:v>
      </x:c>
      <x:c r="D5" s="56" t="str">
        <x:f>IF(AND(B6=4,B7=0,B8=0),"CONCLUÍDO: 4 passaram e 0 falharam","EM ANDAMENTO: complete e investigue os casos")</x:f>
        <x:v>EM ANDAMENTO: complete e investigue os casos</x:v>
      </x:c>
      <x:c r="E5" s="57"/>
      <x:c r="F5" s="57"/>
      <x:c r="G5" s="57"/>
      <x:c r="H5" s="58"/>
    </x:row>
    <x:row r="6" ht="34" customHeight="1">
      <x:c r="A6" s="22" t="str">
        <x:v>Passou</x:v>
      </x:c>
      <x:c r="B6" s="25" t="n">
        <x:f>COUNTIF('Registro de execução'!$E$5:$E$8,"Passou")</x:f>
        <x:v>0</x:v>
      </x:c>
      <x:c r="D6" s="59"/>
      <x:c r="E6" s="60"/>
      <x:c r="F6" s="60"/>
      <x:c r="G6" s="60"/>
      <x:c r="H6" s="61"/>
    </x:row>
    <x:row r="7" ht="34" customHeight="1">
      <x:c r="A7" s="22" t="str">
        <x:v>Falhou</x:v>
      </x:c>
      <x:c r="B7" s="25" t="n">
        <x:f>COUNTIF('Registro de execução'!$E$5:$E$8,"Falhou")</x:f>
        <x:v>0</x:v>
      </x:c>
      <x:c r="D7" s="62"/>
      <x:c r="E7" s="63"/>
      <x:c r="F7" s="63"/>
      <x:c r="G7" s="63"/>
      <x:c r="H7" s="64"/>
    </x:row>
    <x:row r="8" ht="34" customHeight="1">
      <x:c r="A8" s="22" t="str">
        <x:v>Bloqueado</x:v>
      </x:c>
      <x:c r="B8" s="25" t="n">
        <x:f>COUNTIF('Registro de execução'!$E$5:$E$8,"Bloqueado")</x:f>
        <x:v>0</x:v>
      </x:c>
    </x:row>
    <x:row r="9" ht="34" customHeight="1">
      <x:c r="A9" s="22" t="str">
        <x:v>Não executado</x:v>
      </x:c>
      <x:c r="B9" s="25" t="n">
        <x:f>COUNTIF('Registro de execução'!$E$5:$E$8,"Não executado")</x:f>
        <x:v>4</x:v>
      </x:c>
      <x:c r="D9" s="69" t="str">
        <x:v>Automação: registre separadamente o tempo real exibido pelo Behave.</x:v>
      </x:c>
      <x:c r="E9" s="69"/>
      <x:c r="F9" s="69"/>
      <x:c r="G9" s="69"/>
      <x:c r="H9" s="69"/>
    </x:row>
  </x:sheetData>
  <x:mergeCells>
    <x:mergeCell ref="A1:H1"/>
    <x:mergeCell ref="A2:H2"/>
    <x:mergeCell ref="D4:H4"/>
    <x:mergeCell ref="D5:H7"/>
    <x:mergeCell ref="D9:H9"/>
  </x:mergeCells>
  <x:pageMargins left="0.7" right="0.7" top="0.75" bottom="0.75" header="0.3" footer="0.3"/>
</x:worksheet>
</file>